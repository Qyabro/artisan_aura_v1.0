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US\TEMPERATURA_TOSTADORA\TITAN_Basic\v1.0\"/>
    </mc:Choice>
  </mc:AlternateContent>
  <bookViews>
    <workbookView xWindow="0" yWindow="0" windowWidth="23040" windowHeight="8904" activeTab="4"/>
  </bookViews>
  <sheets>
    <sheet name="Componentes_Compra" sheetId="1" r:id="rId1"/>
    <sheet name="Componentes_TITAN" sheetId="3" r:id="rId2"/>
    <sheet name="Carcasa" sheetId="4" r:id="rId3"/>
    <sheet name="PCB" sheetId="5" r:id="rId4"/>
    <sheet name="TOTAL" sheetId="6" r:id="rId5"/>
  </sheets>
  <definedNames>
    <definedName name="_xlnm._FilterDatabase" localSheetId="0" hidden="1">Componentes_Compra!$A$2:$I$2</definedName>
    <definedName name="_xlnm._FilterDatabase" localSheetId="1" hidden="1">Componentes_TITAN!$A$2:$I$2</definedName>
  </definedNames>
  <calcPr calcId="162913"/>
</workbook>
</file>

<file path=xl/calcChain.xml><?xml version="1.0" encoding="utf-8"?>
<calcChain xmlns="http://schemas.openxmlformats.org/spreadsheetml/2006/main">
  <c r="C6" i="6" l="1"/>
  <c r="C4" i="6"/>
  <c r="C3" i="6"/>
  <c r="C2" i="6"/>
  <c r="C4" i="5"/>
  <c r="E4" i="5"/>
  <c r="E3" i="5"/>
  <c r="E2" i="5"/>
  <c r="D3" i="5"/>
  <c r="D2" i="5"/>
  <c r="D4" i="5"/>
  <c r="C5" i="4"/>
  <c r="C2" i="4"/>
  <c r="G33" i="3"/>
  <c r="G32" i="3"/>
  <c r="H31" i="3"/>
  <c r="G26" i="3"/>
  <c r="F30" i="3"/>
  <c r="G30" i="3" s="1"/>
  <c r="F29" i="3"/>
  <c r="G29" i="3" s="1"/>
  <c r="F28" i="3"/>
  <c r="G28" i="3" s="1"/>
  <c r="F27" i="3"/>
  <c r="G27" i="3" s="1"/>
  <c r="F26" i="3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H17" i="1"/>
  <c r="H12" i="1"/>
  <c r="H25" i="1"/>
  <c r="H24" i="1"/>
  <c r="H23" i="1"/>
  <c r="H14" i="1"/>
  <c r="H10" i="1"/>
  <c r="H20" i="1"/>
  <c r="H18" i="1"/>
  <c r="H9" i="1"/>
  <c r="H19" i="1"/>
  <c r="H15" i="1"/>
  <c r="H28" i="1"/>
  <c r="H29" i="1"/>
  <c r="H30" i="1"/>
  <c r="H21" i="1"/>
  <c r="H26" i="1"/>
  <c r="H27" i="1"/>
  <c r="H22" i="1"/>
  <c r="H6" i="1"/>
  <c r="H5" i="1"/>
  <c r="H3" i="1"/>
  <c r="H13" i="1"/>
  <c r="H7" i="1"/>
  <c r="H8" i="1"/>
  <c r="H4" i="1"/>
  <c r="H11" i="1"/>
  <c r="H16" i="1"/>
  <c r="G17" i="1"/>
  <c r="G12" i="1"/>
  <c r="G25" i="1"/>
  <c r="G24" i="1"/>
  <c r="G23" i="1"/>
  <c r="G14" i="1"/>
  <c r="G10" i="1"/>
  <c r="G20" i="1"/>
  <c r="G18" i="1"/>
  <c r="G9" i="1"/>
  <c r="G19" i="1"/>
  <c r="G15" i="1"/>
  <c r="G28" i="1"/>
  <c r="G29" i="1"/>
  <c r="G30" i="1"/>
  <c r="G21" i="1"/>
  <c r="G26" i="1"/>
  <c r="G27" i="1"/>
  <c r="G22" i="1"/>
  <c r="G6" i="1"/>
  <c r="G5" i="1"/>
  <c r="G3" i="1"/>
  <c r="G13" i="1"/>
  <c r="G7" i="1"/>
  <c r="G8" i="1"/>
  <c r="G4" i="1"/>
  <c r="G11" i="1"/>
  <c r="G16" i="1"/>
  <c r="G31" i="3" l="1"/>
</calcChain>
</file>

<file path=xl/sharedStrings.xml><?xml version="1.0" encoding="utf-8"?>
<sst xmlns="http://schemas.openxmlformats.org/spreadsheetml/2006/main" count="202" uniqueCount="107">
  <si>
    <t>Name</t>
  </si>
  <si>
    <t>Designator</t>
  </si>
  <si>
    <t>Supplier Part</t>
  </si>
  <si>
    <t>IO32-GREEN</t>
  </si>
  <si>
    <t>C84267</t>
  </si>
  <si>
    <t>IO33-BLUE</t>
  </si>
  <si>
    <t>C84266</t>
  </si>
  <si>
    <t>TSA343G00D-250J2</t>
  </si>
  <si>
    <t>C354947</t>
  </si>
  <si>
    <t>100nF</t>
  </si>
  <si>
    <t>C30926</t>
  </si>
  <si>
    <t>10uF</t>
  </si>
  <si>
    <t>C5</t>
  </si>
  <si>
    <t>C1691</t>
  </si>
  <si>
    <t>4.7uF</t>
  </si>
  <si>
    <t>C10</t>
  </si>
  <si>
    <t>C8032</t>
  </si>
  <si>
    <t>22uF</t>
  </si>
  <si>
    <t>C84419</t>
  </si>
  <si>
    <t>PROG</t>
  </si>
  <si>
    <t>CN1</t>
  </si>
  <si>
    <t>C4749192</t>
  </si>
  <si>
    <t>LEDs</t>
  </si>
  <si>
    <t>CN3</t>
  </si>
  <si>
    <t>C7429634</t>
  </si>
  <si>
    <t>SS14</t>
  </si>
  <si>
    <t>C2480</t>
  </si>
  <si>
    <t>USBLC6-2SC6</t>
  </si>
  <si>
    <t>D3</t>
  </si>
  <si>
    <t>C7519</t>
  </si>
  <si>
    <t>PWR-YELLOW</t>
  </si>
  <si>
    <t>PWR</t>
  </si>
  <si>
    <t>C84268</t>
  </si>
  <si>
    <t>SS8050-G</t>
  </si>
  <si>
    <t>C164886</t>
  </si>
  <si>
    <t>5.1kΩ</t>
  </si>
  <si>
    <t>C23186</t>
  </si>
  <si>
    <t>330Ω</t>
  </si>
  <si>
    <t>C23138</t>
  </si>
  <si>
    <t>27Ω</t>
  </si>
  <si>
    <t>C25224</t>
  </si>
  <si>
    <t>47.5kΩ</t>
  </si>
  <si>
    <t>R12</t>
  </si>
  <si>
    <t>C706176</t>
  </si>
  <si>
    <t>22.1kΩ</t>
  </si>
  <si>
    <t>R14</t>
  </si>
  <si>
    <t>C137768</t>
  </si>
  <si>
    <t>2kΩ</t>
  </si>
  <si>
    <t>R15</t>
  </si>
  <si>
    <t>C103396</t>
  </si>
  <si>
    <t>10kΩ</t>
  </si>
  <si>
    <t>C311889</t>
  </si>
  <si>
    <t>CP2102N-A02-GQFN28R</t>
  </si>
  <si>
    <t>U1</t>
  </si>
  <si>
    <t>C964632</t>
  </si>
  <si>
    <t>MAX6675ISA+T</t>
  </si>
  <si>
    <t>C16030</t>
  </si>
  <si>
    <t>ESP32-WROOM-32E(4MB)</t>
  </si>
  <si>
    <t>U3</t>
  </si>
  <si>
    <t>C701341</t>
  </si>
  <si>
    <t>AMS1117</t>
  </si>
  <si>
    <t>U4</t>
  </si>
  <si>
    <t>C18906017</t>
  </si>
  <si>
    <t>DBT50-7.62-4P</t>
  </si>
  <si>
    <t>C918117</t>
  </si>
  <si>
    <t>AC</t>
  </si>
  <si>
    <t>U11</t>
  </si>
  <si>
    <t>C601239</t>
  </si>
  <si>
    <t>IRM-03-5</t>
  </si>
  <si>
    <t>U12</t>
  </si>
  <si>
    <t>C6969425</t>
  </si>
  <si>
    <t>TYPE C 16PIN XUBF-0336-0816</t>
  </si>
  <si>
    <t>USB1</t>
  </si>
  <si>
    <t>C47118011</t>
  </si>
  <si>
    <t>Carcasa</t>
  </si>
  <si>
    <t>PCB</t>
  </si>
  <si>
    <t>BOOT,EN</t>
  </si>
  <si>
    <t>C3,C4,C11,C14,C15,C17,C18,C19</t>
  </si>
  <si>
    <t>C12,C13,C16</t>
  </si>
  <si>
    <t>D1,D2,D4</t>
  </si>
  <si>
    <t>Q3,Q4</t>
  </si>
  <si>
    <t>R1,R2</t>
  </si>
  <si>
    <t>R5,R7,R8,R19,R20,R22</t>
  </si>
  <si>
    <t>R10,R11</t>
  </si>
  <si>
    <t>R16,R17,R18</t>
  </si>
  <si>
    <t>U2,U5,U7,U9</t>
  </si>
  <si>
    <t>U6,U10</t>
  </si>
  <si>
    <t>Quantity</t>
  </si>
  <si>
    <t>Precio Unitario USD</t>
  </si>
  <si>
    <t>Precio Total USD</t>
  </si>
  <si>
    <t>Precio Unitario COP</t>
  </si>
  <si>
    <t>Precio Total COP</t>
  </si>
  <si>
    <t>Tasa</t>
  </si>
  <si>
    <t>Sin USB</t>
  </si>
  <si>
    <t>TOTAL</t>
  </si>
  <si>
    <t>TOTAL componentes</t>
  </si>
  <si>
    <t>Envio</t>
  </si>
  <si>
    <t>USD 20,44</t>
  </si>
  <si>
    <t>Tornillos</t>
  </si>
  <si>
    <t>Sticker</t>
  </si>
  <si>
    <t>Carcasa+envio</t>
  </si>
  <si>
    <t>Fabricacion</t>
  </si>
  <si>
    <t>10 unidades USD</t>
  </si>
  <si>
    <t>unitario USD</t>
  </si>
  <si>
    <t>unitario COP</t>
  </si>
  <si>
    <t>Componentes</t>
  </si>
  <si>
    <t>Termocupla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</si>
</sst>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/>
    <xf numFmtId="0" fontId="0" fillId="0" borderId="0" xfId="0" applyFont="1"/>
    <xf numFmtId="44" fontId="0" fillId="0" borderId="0" xfId="42" applyFont="1"/>
    <xf numFmtId="44" fontId="0" fillId="0" borderId="0" xfId="42" applyNumberFormat="1" applyFont="1"/>
    <xf numFmtId="0" fontId="16" fillId="33" borderId="0" xfId="0" applyFont="1" applyFill="1"/>
    <xf numFmtId="44" fontId="16" fillId="33" borderId="0" xfId="42" applyFont="1" applyFill="1"/>
    <xf numFmtId="44" fontId="0" fillId="0" borderId="0" xfId="0" applyNumberFormat="1"/>
    <xf numFmtId="0" fontId="16" fillId="0" borderId="0" xfId="0" applyFont="1" applyAlignment="1">
      <alignment horizontal="center"/>
    </xf>
    <xf numFmtId="44" fontId="16" fillId="0" borderId="0" xfId="0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130" zoomScaleNormal="130" workbookViewId="0">
      <selection activeCell="A29" sqref="A29"/>
    </sheetView>
  </sheetViews>
  <sheetFormatPr baseColWidth="10" defaultRowHeight="14.4" x14ac:dyDescent="0.3"/>
  <cols>
    <col min="1" max="1" width="26.33203125" bestFit="1" customWidth="1"/>
    <col min="2" max="2" width="27.88671875" style="1" bestFit="1" customWidth="1"/>
    <col min="4" max="4" width="10.21875" bestFit="1" customWidth="1"/>
    <col min="5" max="5" width="17.33203125" bestFit="1" customWidth="1"/>
    <col min="6" max="6" width="16.88671875" bestFit="1" customWidth="1"/>
    <col min="7" max="7" width="19.44140625" bestFit="1" customWidth="1"/>
    <col min="8" max="8" width="16.88671875" bestFit="1" customWidth="1"/>
    <col min="9" max="9" width="19.77734375" customWidth="1"/>
  </cols>
  <sheetData>
    <row r="1" spans="1:8" x14ac:dyDescent="0.3">
      <c r="F1" s="2" t="s">
        <v>92</v>
      </c>
      <c r="G1" s="2">
        <v>3788.53</v>
      </c>
    </row>
    <row r="2" spans="1:8" x14ac:dyDescent="0.3">
      <c r="A2" t="s">
        <v>0</v>
      </c>
      <c r="B2" s="1" t="s">
        <v>1</v>
      </c>
      <c r="C2" t="s">
        <v>2</v>
      </c>
      <c r="D2" t="s">
        <v>87</v>
      </c>
      <c r="E2" t="s">
        <v>88</v>
      </c>
      <c r="F2" t="s">
        <v>89</v>
      </c>
      <c r="G2" s="3" t="s">
        <v>90</v>
      </c>
      <c r="H2" s="3" t="s">
        <v>91</v>
      </c>
    </row>
    <row r="3" spans="1:8" x14ac:dyDescent="0.3">
      <c r="A3" t="s">
        <v>57</v>
      </c>
      <c r="B3" s="1" t="s">
        <v>58</v>
      </c>
      <c r="C3" t="s">
        <v>59</v>
      </c>
      <c r="D3">
        <v>12</v>
      </c>
      <c r="E3">
        <v>3.2168999999999999</v>
      </c>
      <c r="F3">
        <v>38.6</v>
      </c>
      <c r="G3">
        <f>E3*$G$1</f>
        <v>12187.322157000001</v>
      </c>
      <c r="H3">
        <f>F3*$G$1</f>
        <v>146237.258</v>
      </c>
    </row>
    <row r="4" spans="1:8" x14ac:dyDescent="0.3">
      <c r="A4" t="s">
        <v>68</v>
      </c>
      <c r="B4" s="1" t="s">
        <v>69</v>
      </c>
      <c r="C4" t="s">
        <v>70</v>
      </c>
      <c r="D4">
        <v>10</v>
      </c>
      <c r="E4">
        <v>3.0062000000000002</v>
      </c>
      <c r="F4">
        <v>30.06</v>
      </c>
      <c r="G4">
        <f>E4*$G$1</f>
        <v>11389.078886000001</v>
      </c>
      <c r="H4">
        <f>F4*$G$1</f>
        <v>113883.2118</v>
      </c>
    </row>
    <row r="5" spans="1:8" x14ac:dyDescent="0.3">
      <c r="A5" t="s">
        <v>55</v>
      </c>
      <c r="B5" s="1" t="s">
        <v>85</v>
      </c>
      <c r="C5" t="s">
        <v>56</v>
      </c>
      <c r="D5">
        <v>40</v>
      </c>
      <c r="E5">
        <v>1.6509</v>
      </c>
      <c r="F5">
        <v>66.040000000000006</v>
      </c>
      <c r="G5">
        <f>E5*$G$1</f>
        <v>6254.4841770000003</v>
      </c>
      <c r="H5">
        <f>F5*$G$1</f>
        <v>250194.52120000005</v>
      </c>
    </row>
    <row r="6" spans="1:8" x14ac:dyDescent="0.3">
      <c r="A6" t="s">
        <v>52</v>
      </c>
      <c r="B6" s="1" t="s">
        <v>53</v>
      </c>
      <c r="C6" t="s">
        <v>54</v>
      </c>
      <c r="D6">
        <v>10</v>
      </c>
      <c r="E6">
        <v>1.3771</v>
      </c>
      <c r="F6">
        <v>13.77</v>
      </c>
      <c r="G6">
        <f>E6*$G$1</f>
        <v>5217.184663</v>
      </c>
      <c r="H6">
        <f>F6*$G$1</f>
        <v>52168.058100000002</v>
      </c>
    </row>
    <row r="7" spans="1:8" x14ac:dyDescent="0.3">
      <c r="A7" t="s">
        <v>63</v>
      </c>
      <c r="B7" s="1" t="s">
        <v>86</v>
      </c>
      <c r="C7" t="s">
        <v>64</v>
      </c>
      <c r="D7">
        <v>22</v>
      </c>
      <c r="E7">
        <v>0.31590000000000001</v>
      </c>
      <c r="F7">
        <v>6.95</v>
      </c>
      <c r="G7">
        <f>E7*$G$1</f>
        <v>1196.7966270000002</v>
      </c>
      <c r="H7">
        <f>F7*$G$1</f>
        <v>26330.283500000001</v>
      </c>
    </row>
    <row r="8" spans="1:8" x14ac:dyDescent="0.3">
      <c r="A8" t="s">
        <v>65</v>
      </c>
      <c r="B8" s="1" t="s">
        <v>66</v>
      </c>
      <c r="C8" t="s">
        <v>67</v>
      </c>
      <c r="D8">
        <v>10</v>
      </c>
      <c r="E8">
        <v>0.12239999999999999</v>
      </c>
      <c r="F8">
        <v>1.22</v>
      </c>
      <c r="G8">
        <f>E8*$G$1</f>
        <v>463.716072</v>
      </c>
      <c r="H8">
        <f>F8*$G$1</f>
        <v>4622.0065999999997</v>
      </c>
    </row>
    <row r="9" spans="1:8" x14ac:dyDescent="0.3">
      <c r="A9" t="s">
        <v>27</v>
      </c>
      <c r="B9" s="1" t="s">
        <v>28</v>
      </c>
      <c r="C9" t="s">
        <v>29</v>
      </c>
      <c r="D9">
        <v>10</v>
      </c>
      <c r="E9">
        <v>0.10580000000000001</v>
      </c>
      <c r="F9">
        <v>1.06</v>
      </c>
      <c r="G9">
        <f>E9*$G$1</f>
        <v>400.82647400000002</v>
      </c>
      <c r="H9">
        <f>F9*$G$1</f>
        <v>4015.8418000000006</v>
      </c>
    </row>
    <row r="10" spans="1:8" x14ac:dyDescent="0.3">
      <c r="A10" t="s">
        <v>19</v>
      </c>
      <c r="B10" s="1" t="s">
        <v>20</v>
      </c>
      <c r="C10" t="s">
        <v>21</v>
      </c>
      <c r="D10">
        <v>10</v>
      </c>
      <c r="E10">
        <v>6.5500000000000003E-2</v>
      </c>
      <c r="F10">
        <v>0.66</v>
      </c>
      <c r="G10">
        <f>E10*$G$1</f>
        <v>248.14871500000001</v>
      </c>
      <c r="H10">
        <f>F10*$G$1</f>
        <v>2500.4298000000003</v>
      </c>
    </row>
    <row r="11" spans="1:8" x14ac:dyDescent="0.3">
      <c r="A11" t="s">
        <v>71</v>
      </c>
      <c r="B11" s="1" t="s">
        <v>72</v>
      </c>
      <c r="C11" t="s">
        <v>73</v>
      </c>
      <c r="D11">
        <v>50</v>
      </c>
      <c r="E11">
        <v>6.4799999999999996E-2</v>
      </c>
      <c r="F11">
        <v>3.24</v>
      </c>
      <c r="G11">
        <f>E11*$G$1</f>
        <v>245.49674400000001</v>
      </c>
      <c r="H11">
        <f>F11*$G$1</f>
        <v>12274.837200000002</v>
      </c>
    </row>
    <row r="12" spans="1:8" x14ac:dyDescent="0.3">
      <c r="A12" t="s">
        <v>7</v>
      </c>
      <c r="B12" s="1" t="s">
        <v>76</v>
      </c>
      <c r="C12" t="s">
        <v>8</v>
      </c>
      <c r="D12">
        <v>10</v>
      </c>
      <c r="E12">
        <v>5.3100000000000001E-2</v>
      </c>
      <c r="F12">
        <v>0.53</v>
      </c>
      <c r="G12">
        <f>E12*$G$1</f>
        <v>201.17094300000002</v>
      </c>
      <c r="H12">
        <f>F12*$G$1</f>
        <v>2007.9209000000003</v>
      </c>
    </row>
    <row r="13" spans="1:8" x14ac:dyDescent="0.3">
      <c r="A13" t="s">
        <v>60</v>
      </c>
      <c r="B13" s="1" t="s">
        <v>61</v>
      </c>
      <c r="C13" t="s">
        <v>62</v>
      </c>
      <c r="D13">
        <v>20</v>
      </c>
      <c r="E13">
        <v>3.1399999999999997E-2</v>
      </c>
      <c r="F13">
        <v>0.63</v>
      </c>
      <c r="G13">
        <f>E13*$G$1</f>
        <v>118.95984199999999</v>
      </c>
      <c r="H13">
        <f>F13*$G$1</f>
        <v>2386.7739000000001</v>
      </c>
    </row>
    <row r="14" spans="1:8" x14ac:dyDescent="0.3">
      <c r="A14" t="s">
        <v>17</v>
      </c>
      <c r="B14" s="1" t="s">
        <v>78</v>
      </c>
      <c r="C14" t="s">
        <v>18</v>
      </c>
      <c r="D14">
        <v>50</v>
      </c>
      <c r="E14">
        <v>1.6E-2</v>
      </c>
      <c r="F14">
        <v>0.8</v>
      </c>
      <c r="G14">
        <f>E14*$G$1</f>
        <v>60.616480000000003</v>
      </c>
      <c r="H14">
        <f>F14*$G$1</f>
        <v>3030.8240000000005</v>
      </c>
    </row>
    <row r="15" spans="1:8" x14ac:dyDescent="0.3">
      <c r="A15" t="s">
        <v>33</v>
      </c>
      <c r="B15" s="1" t="s">
        <v>80</v>
      </c>
      <c r="C15" t="s">
        <v>34</v>
      </c>
      <c r="D15">
        <v>50</v>
      </c>
      <c r="E15">
        <v>1.6E-2</v>
      </c>
      <c r="F15">
        <v>0.8</v>
      </c>
      <c r="G15">
        <f>E15*$G$1</f>
        <v>60.616480000000003</v>
      </c>
      <c r="H15">
        <f>F15*$G$1</f>
        <v>3030.8240000000005</v>
      </c>
    </row>
    <row r="16" spans="1:8" x14ac:dyDescent="0.3">
      <c r="A16" t="s">
        <v>3</v>
      </c>
      <c r="B16" s="1">
        <v>32</v>
      </c>
      <c r="C16" t="s">
        <v>4</v>
      </c>
      <c r="D16">
        <v>50</v>
      </c>
      <c r="E16">
        <v>1.5599999999999999E-2</v>
      </c>
      <c r="F16">
        <v>0.78</v>
      </c>
      <c r="G16">
        <f>E16*$G$1</f>
        <v>59.101067999999998</v>
      </c>
      <c r="H16">
        <f>F16*$G$1</f>
        <v>2955.0534000000002</v>
      </c>
    </row>
    <row r="17" spans="1:8" x14ac:dyDescent="0.3">
      <c r="A17" t="s">
        <v>5</v>
      </c>
      <c r="B17" s="1">
        <v>33</v>
      </c>
      <c r="C17" t="s">
        <v>6</v>
      </c>
      <c r="D17">
        <v>50</v>
      </c>
      <c r="E17">
        <v>1.54E-2</v>
      </c>
      <c r="F17">
        <v>0.77</v>
      </c>
      <c r="G17">
        <f>E17*$G$1</f>
        <v>58.343362000000006</v>
      </c>
      <c r="H17">
        <f>F17*$G$1</f>
        <v>2917.1681000000003</v>
      </c>
    </row>
    <row r="18" spans="1:8" x14ac:dyDescent="0.3">
      <c r="A18" t="s">
        <v>25</v>
      </c>
      <c r="B18" s="1" t="s">
        <v>79</v>
      </c>
      <c r="C18" t="s">
        <v>26</v>
      </c>
      <c r="D18">
        <v>50</v>
      </c>
      <c r="E18">
        <v>1.54E-2</v>
      </c>
      <c r="F18">
        <v>0.77</v>
      </c>
      <c r="G18">
        <f>E18*$G$1</f>
        <v>58.343362000000006</v>
      </c>
      <c r="H18">
        <f>F18*$G$1</f>
        <v>2917.1681000000003</v>
      </c>
    </row>
    <row r="19" spans="1:8" x14ac:dyDescent="0.3">
      <c r="A19" t="s">
        <v>30</v>
      </c>
      <c r="B19" s="1" t="s">
        <v>31</v>
      </c>
      <c r="C19" t="s">
        <v>32</v>
      </c>
      <c r="D19">
        <v>50</v>
      </c>
      <c r="E19">
        <v>1.2699999999999999E-2</v>
      </c>
      <c r="F19">
        <v>0.64</v>
      </c>
      <c r="G19">
        <f>E19*$G$1</f>
        <v>48.114331</v>
      </c>
      <c r="H19">
        <f>F19*$G$1</f>
        <v>2424.6592000000001</v>
      </c>
    </row>
    <row r="20" spans="1:8" x14ac:dyDescent="0.3">
      <c r="A20" t="s">
        <v>22</v>
      </c>
      <c r="B20" s="1" t="s">
        <v>23</v>
      </c>
      <c r="C20" t="s">
        <v>24</v>
      </c>
      <c r="D20">
        <v>20</v>
      </c>
      <c r="E20">
        <v>9.7000000000000003E-3</v>
      </c>
      <c r="F20">
        <v>0.19</v>
      </c>
      <c r="G20">
        <f>E20*$G$1</f>
        <v>36.748741000000003</v>
      </c>
      <c r="H20">
        <f>F20*$G$1</f>
        <v>719.8207000000001</v>
      </c>
    </row>
    <row r="21" spans="1:8" x14ac:dyDescent="0.3">
      <c r="A21" t="s">
        <v>41</v>
      </c>
      <c r="B21" s="1" t="s">
        <v>42</v>
      </c>
      <c r="C21" t="s">
        <v>43</v>
      </c>
      <c r="D21">
        <v>50</v>
      </c>
      <c r="E21">
        <v>9.4999999999999998E-3</v>
      </c>
      <c r="F21">
        <v>0.48</v>
      </c>
      <c r="G21">
        <f>E21*$G$1</f>
        <v>35.991035000000004</v>
      </c>
      <c r="H21">
        <f>F21*$G$1</f>
        <v>1818.4944</v>
      </c>
    </row>
    <row r="22" spans="1:8" x14ac:dyDescent="0.3">
      <c r="A22" t="s">
        <v>50</v>
      </c>
      <c r="B22" s="1" t="s">
        <v>84</v>
      </c>
      <c r="C22" t="s">
        <v>51</v>
      </c>
      <c r="D22">
        <v>100</v>
      </c>
      <c r="E22">
        <v>7.7999999999999996E-3</v>
      </c>
      <c r="F22">
        <v>0.78</v>
      </c>
      <c r="G22">
        <f>E22*$G$1</f>
        <v>29.550533999999999</v>
      </c>
      <c r="H22">
        <f>F22*$G$1</f>
        <v>2955.0534000000002</v>
      </c>
    </row>
    <row r="23" spans="1:8" x14ac:dyDescent="0.3">
      <c r="A23" t="s">
        <v>14</v>
      </c>
      <c r="B23" s="1" t="s">
        <v>15</v>
      </c>
      <c r="C23" t="s">
        <v>16</v>
      </c>
      <c r="D23">
        <v>50</v>
      </c>
      <c r="E23">
        <v>5.1999999999999998E-3</v>
      </c>
      <c r="F23">
        <v>0.26</v>
      </c>
      <c r="G23">
        <f>E23*$G$1</f>
        <v>19.700355999999999</v>
      </c>
      <c r="H23">
        <f>F23*$G$1</f>
        <v>985.01780000000008</v>
      </c>
    </row>
    <row r="24" spans="1:8" x14ac:dyDescent="0.3">
      <c r="A24" t="s">
        <v>11</v>
      </c>
      <c r="B24" s="1" t="s">
        <v>12</v>
      </c>
      <c r="C24" t="s">
        <v>13</v>
      </c>
      <c r="D24">
        <v>50</v>
      </c>
      <c r="E24">
        <v>4.7999999999999996E-3</v>
      </c>
      <c r="F24">
        <v>0.24</v>
      </c>
      <c r="G24">
        <f>E24*$G$1</f>
        <v>18.184943999999998</v>
      </c>
      <c r="H24">
        <f>F24*$G$1</f>
        <v>909.24720000000002</v>
      </c>
    </row>
    <row r="25" spans="1:8" x14ac:dyDescent="0.3">
      <c r="A25" t="s">
        <v>9</v>
      </c>
      <c r="B25" s="1" t="s">
        <v>77</v>
      </c>
      <c r="C25" t="s">
        <v>10</v>
      </c>
      <c r="D25">
        <v>100</v>
      </c>
      <c r="E25">
        <v>2.3E-3</v>
      </c>
      <c r="F25">
        <v>0.23</v>
      </c>
      <c r="G25">
        <f>E25*$G$1</f>
        <v>8.7136189999999996</v>
      </c>
      <c r="H25">
        <f>F25*$G$1</f>
        <v>871.36190000000011</v>
      </c>
    </row>
    <row r="26" spans="1:8" x14ac:dyDescent="0.3">
      <c r="A26" t="s">
        <v>44</v>
      </c>
      <c r="B26" s="1" t="s">
        <v>45</v>
      </c>
      <c r="C26" t="s">
        <v>46</v>
      </c>
      <c r="D26">
        <v>100</v>
      </c>
      <c r="E26">
        <v>1.1999999999999999E-3</v>
      </c>
      <c r="F26">
        <v>0.12</v>
      </c>
      <c r="G26">
        <f>E26*$G$1</f>
        <v>4.5462359999999995</v>
      </c>
      <c r="H26">
        <f>F26*$G$1</f>
        <v>454.62360000000001</v>
      </c>
    </row>
    <row r="27" spans="1:8" x14ac:dyDescent="0.3">
      <c r="A27" t="s">
        <v>47</v>
      </c>
      <c r="B27" s="1" t="s">
        <v>48</v>
      </c>
      <c r="C27" t="s">
        <v>49</v>
      </c>
      <c r="D27">
        <v>100</v>
      </c>
      <c r="E27">
        <v>1.1999999999999999E-3</v>
      </c>
      <c r="F27">
        <v>0.12</v>
      </c>
      <c r="G27">
        <f>E27*$G$1</f>
        <v>4.5462359999999995</v>
      </c>
      <c r="H27">
        <f>F27*$G$1</f>
        <v>454.62360000000001</v>
      </c>
    </row>
    <row r="28" spans="1:8" x14ac:dyDescent="0.3">
      <c r="A28" t="s">
        <v>35</v>
      </c>
      <c r="B28" s="1" t="s">
        <v>81</v>
      </c>
      <c r="C28" t="s">
        <v>36</v>
      </c>
      <c r="D28">
        <v>100</v>
      </c>
      <c r="E28">
        <v>1.1000000000000001E-3</v>
      </c>
      <c r="F28">
        <v>0.11</v>
      </c>
      <c r="G28">
        <f>E28*$G$1</f>
        <v>4.1673830000000001</v>
      </c>
      <c r="H28">
        <f>F28*$G$1</f>
        <v>416.73830000000004</v>
      </c>
    </row>
    <row r="29" spans="1:8" x14ac:dyDescent="0.3">
      <c r="A29" t="s">
        <v>37</v>
      </c>
      <c r="B29" s="1" t="s">
        <v>82</v>
      </c>
      <c r="C29" t="s">
        <v>38</v>
      </c>
      <c r="D29">
        <v>100</v>
      </c>
      <c r="E29">
        <v>1.1000000000000001E-3</v>
      </c>
      <c r="F29">
        <v>0.11</v>
      </c>
      <c r="G29">
        <f>E29*$G$1</f>
        <v>4.1673830000000001</v>
      </c>
      <c r="H29">
        <f>F29*$G$1</f>
        <v>416.73830000000004</v>
      </c>
    </row>
    <row r="30" spans="1:8" x14ac:dyDescent="0.3">
      <c r="A30" t="s">
        <v>39</v>
      </c>
      <c r="B30" s="1" t="s">
        <v>83</v>
      </c>
      <c r="C30" t="s">
        <v>40</v>
      </c>
      <c r="D30">
        <v>100</v>
      </c>
      <c r="E30">
        <v>1E-3</v>
      </c>
      <c r="F30">
        <v>0.1</v>
      </c>
      <c r="G30">
        <f>E30*$G$1</f>
        <v>3.7885300000000002</v>
      </c>
      <c r="H30">
        <f>F30*$G$1</f>
        <v>378.85300000000007</v>
      </c>
    </row>
  </sheetData>
  <autoFilter ref="A2:I2">
    <sortState ref="A3:I30">
      <sortCondition descending="1" ref="G2"/>
    </sortState>
  </autoFilter>
  <conditionalFormatting sqref="C1:C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130" zoomScaleNormal="130" workbookViewId="0">
      <selection activeCell="B36" sqref="B36"/>
    </sheetView>
  </sheetViews>
  <sheetFormatPr baseColWidth="10" defaultRowHeight="14.4" x14ac:dyDescent="0.3"/>
  <cols>
    <col min="1" max="1" width="26.33203125" bestFit="1" customWidth="1"/>
    <col min="2" max="2" width="27.88671875" style="1" bestFit="1" customWidth="1"/>
    <col min="4" max="4" width="10.21875" bestFit="1" customWidth="1"/>
    <col min="5" max="5" width="19.44140625" bestFit="1" customWidth="1"/>
    <col min="6" max="6" width="19.6640625" bestFit="1" customWidth="1"/>
    <col min="7" max="7" width="17.109375" bestFit="1" customWidth="1"/>
    <col min="8" max="8" width="12.77734375" bestFit="1" customWidth="1"/>
  </cols>
  <sheetData>
    <row r="1" spans="1:8" x14ac:dyDescent="0.3">
      <c r="E1" s="2" t="s">
        <v>92</v>
      </c>
      <c r="F1" s="2">
        <v>3788.53</v>
      </c>
    </row>
    <row r="2" spans="1:8" x14ac:dyDescent="0.3">
      <c r="A2" t="s">
        <v>0</v>
      </c>
      <c r="B2" s="1" t="s">
        <v>1</v>
      </c>
      <c r="C2" t="s">
        <v>2</v>
      </c>
      <c r="D2" t="s">
        <v>87</v>
      </c>
      <c r="E2" t="s">
        <v>88</v>
      </c>
      <c r="F2" s="3" t="s">
        <v>90</v>
      </c>
      <c r="G2" s="3" t="s">
        <v>91</v>
      </c>
      <c r="H2" s="1" t="s">
        <v>93</v>
      </c>
    </row>
    <row r="3" spans="1:8" x14ac:dyDescent="0.3">
      <c r="A3" t="s">
        <v>57</v>
      </c>
      <c r="B3" s="1" t="s">
        <v>58</v>
      </c>
      <c r="C3" t="s">
        <v>59</v>
      </c>
      <c r="D3">
        <v>1</v>
      </c>
      <c r="E3">
        <v>3.2168999999999999</v>
      </c>
      <c r="F3" s="6">
        <f>E3*$F$1</f>
        <v>12187.322157000001</v>
      </c>
      <c r="G3" s="6">
        <f>D3*F3</f>
        <v>12187.322157000001</v>
      </c>
      <c r="H3" s="6">
        <v>12187.322157000001</v>
      </c>
    </row>
    <row r="4" spans="1:8" x14ac:dyDescent="0.3">
      <c r="A4" t="s">
        <v>68</v>
      </c>
      <c r="B4" s="1" t="s">
        <v>69</v>
      </c>
      <c r="C4" t="s">
        <v>70</v>
      </c>
      <c r="D4">
        <v>1</v>
      </c>
      <c r="E4">
        <v>3.0062000000000002</v>
      </c>
      <c r="F4" s="6">
        <f>E4*$F$1</f>
        <v>11389.078886000001</v>
      </c>
      <c r="G4" s="6">
        <f t="shared" ref="G4:H30" si="0">D4*F4</f>
        <v>11389.078886000001</v>
      </c>
      <c r="H4" s="6">
        <v>11389.078886000001</v>
      </c>
    </row>
    <row r="5" spans="1:8" x14ac:dyDescent="0.3">
      <c r="A5" t="s">
        <v>55</v>
      </c>
      <c r="B5" s="1" t="s">
        <v>85</v>
      </c>
      <c r="C5" t="s">
        <v>56</v>
      </c>
      <c r="D5">
        <v>4</v>
      </c>
      <c r="E5">
        <v>1.6509</v>
      </c>
      <c r="F5" s="6">
        <f>E5*$F$1</f>
        <v>6254.4841770000003</v>
      </c>
      <c r="G5" s="6">
        <f t="shared" si="0"/>
        <v>25017.936708000001</v>
      </c>
      <c r="H5" s="6">
        <v>25017.936708000001</v>
      </c>
    </row>
    <row r="6" spans="1:8" x14ac:dyDescent="0.3">
      <c r="A6" t="s">
        <v>52</v>
      </c>
      <c r="B6" s="1" t="s">
        <v>53</v>
      </c>
      <c r="C6" t="s">
        <v>54</v>
      </c>
      <c r="D6">
        <v>1</v>
      </c>
      <c r="E6">
        <v>1.3771</v>
      </c>
      <c r="F6" s="6">
        <f>E6*$F$1</f>
        <v>5217.184663</v>
      </c>
      <c r="G6" s="6">
        <f t="shared" si="0"/>
        <v>5217.184663</v>
      </c>
      <c r="H6" s="6"/>
    </row>
    <row r="7" spans="1:8" x14ac:dyDescent="0.3">
      <c r="A7" t="s">
        <v>63</v>
      </c>
      <c r="B7" s="1" t="s">
        <v>86</v>
      </c>
      <c r="C7" t="s">
        <v>64</v>
      </c>
      <c r="D7">
        <v>2</v>
      </c>
      <c r="E7">
        <v>0.31590000000000001</v>
      </c>
      <c r="F7" s="6">
        <f>E7*$F$1</f>
        <v>1196.7966270000002</v>
      </c>
      <c r="G7" s="6">
        <f t="shared" si="0"/>
        <v>2393.5932540000003</v>
      </c>
      <c r="H7" s="6">
        <v>2393.5932540000003</v>
      </c>
    </row>
    <row r="8" spans="1:8" x14ac:dyDescent="0.3">
      <c r="A8" t="s">
        <v>65</v>
      </c>
      <c r="B8" s="1" t="s">
        <v>66</v>
      </c>
      <c r="C8" t="s">
        <v>67</v>
      </c>
      <c r="D8">
        <v>1</v>
      </c>
      <c r="E8">
        <v>0.12239999999999999</v>
      </c>
      <c r="F8" s="6">
        <f>E8*$F$1</f>
        <v>463.716072</v>
      </c>
      <c r="G8" s="6">
        <f t="shared" si="0"/>
        <v>463.716072</v>
      </c>
      <c r="H8" s="6">
        <v>463.716072</v>
      </c>
    </row>
    <row r="9" spans="1:8" x14ac:dyDescent="0.3">
      <c r="A9" t="s">
        <v>27</v>
      </c>
      <c r="B9" s="1" t="s">
        <v>28</v>
      </c>
      <c r="C9" t="s">
        <v>29</v>
      </c>
      <c r="D9">
        <v>1</v>
      </c>
      <c r="E9">
        <v>0.10580000000000001</v>
      </c>
      <c r="F9" s="6">
        <f>E9*$F$1</f>
        <v>400.82647400000002</v>
      </c>
      <c r="G9" s="6">
        <f t="shared" si="0"/>
        <v>400.82647400000002</v>
      </c>
      <c r="H9" s="6"/>
    </row>
    <row r="10" spans="1:8" x14ac:dyDescent="0.3">
      <c r="A10" t="s">
        <v>19</v>
      </c>
      <c r="B10" s="1" t="s">
        <v>20</v>
      </c>
      <c r="C10" t="s">
        <v>21</v>
      </c>
      <c r="D10">
        <v>1</v>
      </c>
      <c r="E10">
        <v>6.5500000000000003E-2</v>
      </c>
      <c r="F10" s="6">
        <f>E10*$F$1</f>
        <v>248.14871500000001</v>
      </c>
      <c r="G10" s="6">
        <f t="shared" si="0"/>
        <v>248.14871500000001</v>
      </c>
      <c r="H10" s="6">
        <v>248.14871500000001</v>
      </c>
    </row>
    <row r="11" spans="1:8" x14ac:dyDescent="0.3">
      <c r="A11" t="s">
        <v>71</v>
      </c>
      <c r="B11" s="1" t="s">
        <v>72</v>
      </c>
      <c r="C11" t="s">
        <v>73</v>
      </c>
      <c r="D11">
        <v>1</v>
      </c>
      <c r="E11">
        <v>6.4799999999999996E-2</v>
      </c>
      <c r="F11" s="6">
        <f>E11*$F$1</f>
        <v>245.49674400000001</v>
      </c>
      <c r="G11" s="6">
        <f t="shared" si="0"/>
        <v>245.49674400000001</v>
      </c>
      <c r="H11" s="6"/>
    </row>
    <row r="12" spans="1:8" x14ac:dyDescent="0.3">
      <c r="A12" t="s">
        <v>7</v>
      </c>
      <c r="B12" s="1" t="s">
        <v>76</v>
      </c>
      <c r="C12" t="s">
        <v>8</v>
      </c>
      <c r="D12">
        <v>2</v>
      </c>
      <c r="E12">
        <v>5.3100000000000001E-2</v>
      </c>
      <c r="F12" s="6">
        <f>E12*$F$1</f>
        <v>201.17094300000002</v>
      </c>
      <c r="G12" s="6">
        <f t="shared" si="0"/>
        <v>402.34188600000004</v>
      </c>
      <c r="H12" s="6">
        <v>402.34188600000004</v>
      </c>
    </row>
    <row r="13" spans="1:8" x14ac:dyDescent="0.3">
      <c r="A13" t="s">
        <v>60</v>
      </c>
      <c r="B13" s="1" t="s">
        <v>61</v>
      </c>
      <c r="C13" t="s">
        <v>62</v>
      </c>
      <c r="D13">
        <v>1</v>
      </c>
      <c r="E13">
        <v>3.1399999999999997E-2</v>
      </c>
      <c r="F13" s="6">
        <f>E13*$F$1</f>
        <v>118.95984199999999</v>
      </c>
      <c r="G13" s="6">
        <f t="shared" si="0"/>
        <v>118.95984199999999</v>
      </c>
      <c r="H13" s="6">
        <v>118.95984199999999</v>
      </c>
    </row>
    <row r="14" spans="1:8" x14ac:dyDescent="0.3">
      <c r="A14" t="s">
        <v>17</v>
      </c>
      <c r="B14" s="1" t="s">
        <v>78</v>
      </c>
      <c r="C14" t="s">
        <v>18</v>
      </c>
      <c r="D14">
        <v>3</v>
      </c>
      <c r="E14">
        <v>1.6E-2</v>
      </c>
      <c r="F14" s="6">
        <f>E14*$F$1</f>
        <v>60.616480000000003</v>
      </c>
      <c r="G14" s="6">
        <f t="shared" si="0"/>
        <v>181.84944000000002</v>
      </c>
      <c r="H14" s="6">
        <v>181.84944000000002</v>
      </c>
    </row>
    <row r="15" spans="1:8" x14ac:dyDescent="0.3">
      <c r="A15" t="s">
        <v>33</v>
      </c>
      <c r="B15" s="1" t="s">
        <v>80</v>
      </c>
      <c r="C15" t="s">
        <v>34</v>
      </c>
      <c r="D15">
        <v>2</v>
      </c>
      <c r="E15">
        <v>1.6E-2</v>
      </c>
      <c r="F15" s="6">
        <f>E15*$F$1</f>
        <v>60.616480000000003</v>
      </c>
      <c r="G15" s="6">
        <f t="shared" si="0"/>
        <v>121.23296000000001</v>
      </c>
      <c r="H15" s="6">
        <v>121.23296000000001</v>
      </c>
    </row>
    <row r="16" spans="1:8" x14ac:dyDescent="0.3">
      <c r="A16" t="s">
        <v>3</v>
      </c>
      <c r="B16" s="1">
        <v>32</v>
      </c>
      <c r="C16" t="s">
        <v>4</v>
      </c>
      <c r="D16">
        <v>1</v>
      </c>
      <c r="E16">
        <v>1.5599999999999999E-2</v>
      </c>
      <c r="F16" s="6">
        <f>E16*$F$1</f>
        <v>59.101067999999998</v>
      </c>
      <c r="G16" s="6">
        <f t="shared" si="0"/>
        <v>59.101067999999998</v>
      </c>
      <c r="H16" s="6">
        <v>59.101067999999998</v>
      </c>
    </row>
    <row r="17" spans="1:8" x14ac:dyDescent="0.3">
      <c r="A17" t="s">
        <v>5</v>
      </c>
      <c r="B17" s="1">
        <v>33</v>
      </c>
      <c r="C17" t="s">
        <v>6</v>
      </c>
      <c r="D17">
        <v>1</v>
      </c>
      <c r="E17">
        <v>1.54E-2</v>
      </c>
      <c r="F17" s="6">
        <f>E17*$F$1</f>
        <v>58.343362000000006</v>
      </c>
      <c r="G17" s="6">
        <f t="shared" si="0"/>
        <v>58.343362000000006</v>
      </c>
      <c r="H17" s="6">
        <v>58.343362000000006</v>
      </c>
    </row>
    <row r="18" spans="1:8" x14ac:dyDescent="0.3">
      <c r="A18" t="s">
        <v>25</v>
      </c>
      <c r="B18" s="1" t="s">
        <v>79</v>
      </c>
      <c r="C18" t="s">
        <v>26</v>
      </c>
      <c r="D18">
        <v>3</v>
      </c>
      <c r="E18">
        <v>1.54E-2</v>
      </c>
      <c r="F18" s="6">
        <f>E18*$F$1</f>
        <v>58.343362000000006</v>
      </c>
      <c r="G18" s="6">
        <f t="shared" si="0"/>
        <v>175.03008600000001</v>
      </c>
      <c r="H18" s="6">
        <v>175.03008600000001</v>
      </c>
    </row>
    <row r="19" spans="1:8" x14ac:dyDescent="0.3">
      <c r="A19" t="s">
        <v>30</v>
      </c>
      <c r="B19" s="1" t="s">
        <v>31</v>
      </c>
      <c r="C19" t="s">
        <v>32</v>
      </c>
      <c r="D19">
        <v>1</v>
      </c>
      <c r="E19">
        <v>1.2699999999999999E-2</v>
      </c>
      <c r="F19" s="6">
        <f>E19*$F$1</f>
        <v>48.114331</v>
      </c>
      <c r="G19" s="6">
        <f t="shared" si="0"/>
        <v>48.114331</v>
      </c>
      <c r="H19" s="6">
        <v>48.114331</v>
      </c>
    </row>
    <row r="20" spans="1:8" x14ac:dyDescent="0.3">
      <c r="A20" t="s">
        <v>22</v>
      </c>
      <c r="B20" s="1" t="s">
        <v>23</v>
      </c>
      <c r="C20" t="s">
        <v>24</v>
      </c>
      <c r="D20">
        <v>1</v>
      </c>
      <c r="E20">
        <v>9.7000000000000003E-3</v>
      </c>
      <c r="F20" s="6">
        <f>E20*$F$1</f>
        <v>36.748741000000003</v>
      </c>
      <c r="G20" s="6">
        <f t="shared" si="0"/>
        <v>36.748741000000003</v>
      </c>
      <c r="H20" s="6">
        <v>36.748741000000003</v>
      </c>
    </row>
    <row r="21" spans="1:8" x14ac:dyDescent="0.3">
      <c r="A21" t="s">
        <v>41</v>
      </c>
      <c r="B21" s="1" t="s">
        <v>42</v>
      </c>
      <c r="C21" t="s">
        <v>43</v>
      </c>
      <c r="D21">
        <v>1</v>
      </c>
      <c r="E21">
        <v>9.4999999999999998E-3</v>
      </c>
      <c r="F21" s="6">
        <f>E21*$F$1</f>
        <v>35.991035000000004</v>
      </c>
      <c r="G21" s="6">
        <f t="shared" si="0"/>
        <v>35.991035000000004</v>
      </c>
      <c r="H21" s="6"/>
    </row>
    <row r="22" spans="1:8" x14ac:dyDescent="0.3">
      <c r="A22" t="s">
        <v>50</v>
      </c>
      <c r="B22" s="1" t="s">
        <v>84</v>
      </c>
      <c r="C22" t="s">
        <v>51</v>
      </c>
      <c r="D22">
        <v>3</v>
      </c>
      <c r="E22">
        <v>7.7999999999999996E-3</v>
      </c>
      <c r="F22" s="6">
        <f>E22*$F$1</f>
        <v>29.550533999999999</v>
      </c>
      <c r="G22" s="6">
        <f t="shared" si="0"/>
        <v>88.651601999999997</v>
      </c>
      <c r="H22" s="6">
        <v>88.651601999999997</v>
      </c>
    </row>
    <row r="23" spans="1:8" x14ac:dyDescent="0.3">
      <c r="A23" t="s">
        <v>14</v>
      </c>
      <c r="B23" s="1" t="s">
        <v>15</v>
      </c>
      <c r="C23" t="s">
        <v>16</v>
      </c>
      <c r="D23">
        <v>1</v>
      </c>
      <c r="E23">
        <v>5.1999999999999998E-3</v>
      </c>
      <c r="F23" s="6">
        <f>E23*$F$1</f>
        <v>19.700355999999999</v>
      </c>
      <c r="G23" s="6">
        <f t="shared" si="0"/>
        <v>19.700355999999999</v>
      </c>
      <c r="H23" s="6"/>
    </row>
    <row r="24" spans="1:8" x14ac:dyDescent="0.3">
      <c r="A24" t="s">
        <v>11</v>
      </c>
      <c r="B24" s="1" t="s">
        <v>12</v>
      </c>
      <c r="C24" t="s">
        <v>13</v>
      </c>
      <c r="D24">
        <v>1</v>
      </c>
      <c r="E24">
        <v>4.7999999999999996E-3</v>
      </c>
      <c r="F24" s="6">
        <f>E24*$F$1</f>
        <v>18.184943999999998</v>
      </c>
      <c r="G24" s="6">
        <f t="shared" si="0"/>
        <v>18.184943999999998</v>
      </c>
      <c r="H24" s="6">
        <v>18.184943999999998</v>
      </c>
    </row>
    <row r="25" spans="1:8" x14ac:dyDescent="0.3">
      <c r="A25" t="s">
        <v>9</v>
      </c>
      <c r="B25" s="1" t="s">
        <v>77</v>
      </c>
      <c r="C25" t="s">
        <v>10</v>
      </c>
      <c r="D25">
        <v>8</v>
      </c>
      <c r="E25">
        <v>2.3E-3</v>
      </c>
      <c r="F25" s="6">
        <f>E25*$F$1</f>
        <v>8.7136189999999996</v>
      </c>
      <c r="G25" s="6">
        <f t="shared" si="0"/>
        <v>69.708951999999996</v>
      </c>
      <c r="H25" s="6">
        <v>69.708951999999996</v>
      </c>
    </row>
    <row r="26" spans="1:8" x14ac:dyDescent="0.3">
      <c r="A26" t="s">
        <v>44</v>
      </c>
      <c r="B26" s="1" t="s">
        <v>45</v>
      </c>
      <c r="C26" t="s">
        <v>46</v>
      </c>
      <c r="D26">
        <v>1</v>
      </c>
      <c r="E26">
        <v>1.1999999999999999E-3</v>
      </c>
      <c r="F26" s="6">
        <f>E26*$F$1</f>
        <v>4.5462359999999995</v>
      </c>
      <c r="G26" s="6">
        <f t="shared" si="0"/>
        <v>4.5462359999999995</v>
      </c>
      <c r="H26" s="6">
        <v>4.5462359999999995</v>
      </c>
    </row>
    <row r="27" spans="1:8" x14ac:dyDescent="0.3">
      <c r="A27" t="s">
        <v>47</v>
      </c>
      <c r="B27" s="1" t="s">
        <v>48</v>
      </c>
      <c r="C27" t="s">
        <v>49</v>
      </c>
      <c r="D27">
        <v>1</v>
      </c>
      <c r="E27">
        <v>1.1999999999999999E-3</v>
      </c>
      <c r="F27" s="6">
        <f>E27*$F$1</f>
        <v>4.5462359999999995</v>
      </c>
      <c r="G27" s="6">
        <f t="shared" si="0"/>
        <v>4.5462359999999995</v>
      </c>
      <c r="H27" s="6">
        <v>4.5462359999999995</v>
      </c>
    </row>
    <row r="28" spans="1:8" x14ac:dyDescent="0.3">
      <c r="A28" t="s">
        <v>35</v>
      </c>
      <c r="B28" s="1" t="s">
        <v>81</v>
      </c>
      <c r="C28" t="s">
        <v>36</v>
      </c>
      <c r="D28">
        <v>2</v>
      </c>
      <c r="E28">
        <v>1.1000000000000001E-3</v>
      </c>
      <c r="F28" s="6">
        <f>E28*$F$1</f>
        <v>4.1673830000000001</v>
      </c>
      <c r="G28" s="6">
        <f t="shared" si="0"/>
        <v>8.3347660000000001</v>
      </c>
      <c r="H28" s="6"/>
    </row>
    <row r="29" spans="1:8" x14ac:dyDescent="0.3">
      <c r="A29" t="s">
        <v>37</v>
      </c>
      <c r="B29" s="1" t="s">
        <v>82</v>
      </c>
      <c r="C29" t="s">
        <v>38</v>
      </c>
      <c r="D29">
        <v>6</v>
      </c>
      <c r="E29">
        <v>1.1000000000000001E-3</v>
      </c>
      <c r="F29" s="6">
        <f>E29*$F$1</f>
        <v>4.1673830000000001</v>
      </c>
      <c r="G29" s="6">
        <f t="shared" si="0"/>
        <v>25.004297999999999</v>
      </c>
      <c r="H29" s="6">
        <v>25.004297999999999</v>
      </c>
    </row>
    <row r="30" spans="1:8" x14ac:dyDescent="0.3">
      <c r="A30" t="s">
        <v>39</v>
      </c>
      <c r="B30" s="1" t="s">
        <v>83</v>
      </c>
      <c r="C30" t="s">
        <v>40</v>
      </c>
      <c r="D30">
        <v>2</v>
      </c>
      <c r="E30">
        <v>1E-3</v>
      </c>
      <c r="F30" s="6">
        <f>E30*$F$1</f>
        <v>3.7885300000000002</v>
      </c>
      <c r="G30" s="6">
        <f t="shared" si="0"/>
        <v>7.5770600000000004</v>
      </c>
      <c r="H30" s="6"/>
    </row>
    <row r="31" spans="1:8" x14ac:dyDescent="0.3">
      <c r="F31" s="4" t="s">
        <v>95</v>
      </c>
      <c r="G31" s="5">
        <f>SUM(G3:G30)</f>
        <v>59047.270874000009</v>
      </c>
      <c r="H31" s="5">
        <f>SUM(H3:H30)</f>
        <v>53112.159776000008</v>
      </c>
    </row>
    <row r="32" spans="1:8" x14ac:dyDescent="0.3">
      <c r="E32" s="1" t="s">
        <v>96</v>
      </c>
      <c r="F32" t="s">
        <v>97</v>
      </c>
      <c r="G32" s="5">
        <f>20.44*F1</f>
        <v>77437.553200000009</v>
      </c>
      <c r="H32" s="5"/>
    </row>
    <row r="33" spans="6:7" x14ac:dyDescent="0.3">
      <c r="F33" s="7" t="s">
        <v>94</v>
      </c>
      <c r="G33" s="8">
        <f>G31+G32</f>
        <v>136484.824074</v>
      </c>
    </row>
  </sheetData>
  <autoFilter ref="A2:I2"/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zoomScale="145" zoomScaleNormal="145" workbookViewId="0">
      <selection activeCell="C10" sqref="C10"/>
    </sheetView>
  </sheetViews>
  <sheetFormatPr baseColWidth="10" defaultRowHeight="14.4" x14ac:dyDescent="0.3"/>
  <cols>
    <col min="2" max="2" width="12.88671875" bestFit="1" customWidth="1"/>
    <col min="3" max="3" width="12.21875" bestFit="1" customWidth="1"/>
  </cols>
  <sheetData>
    <row r="2" spans="2:3" x14ac:dyDescent="0.3">
      <c r="B2" t="s">
        <v>100</v>
      </c>
      <c r="C2" s="6">
        <f>9772+3269.74</f>
        <v>13041.74</v>
      </c>
    </row>
    <row r="3" spans="2:3" x14ac:dyDescent="0.3">
      <c r="B3" t="s">
        <v>98</v>
      </c>
      <c r="C3" s="6">
        <v>0</v>
      </c>
    </row>
    <row r="4" spans="2:3" x14ac:dyDescent="0.3">
      <c r="B4" t="s">
        <v>99</v>
      </c>
      <c r="C4" s="6">
        <v>1000</v>
      </c>
    </row>
    <row r="5" spans="2:3" x14ac:dyDescent="0.3">
      <c r="B5" s="10" t="s">
        <v>94</v>
      </c>
      <c r="C5" s="11">
        <f>SUM(C2:C4)</f>
        <v>14041.74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"/>
  <sheetViews>
    <sheetView zoomScale="145" zoomScaleNormal="145" workbookViewId="0">
      <selection activeCell="E20" sqref="E20"/>
    </sheetView>
  </sheetViews>
  <sheetFormatPr baseColWidth="10" defaultRowHeight="14.4" x14ac:dyDescent="0.3"/>
  <cols>
    <col min="2" max="2" width="12.88671875" bestFit="1" customWidth="1"/>
    <col min="3" max="3" width="15" bestFit="1" customWidth="1"/>
    <col min="4" max="4" width="12.21875" bestFit="1" customWidth="1"/>
    <col min="5" max="5" width="12.88671875" customWidth="1"/>
  </cols>
  <sheetData>
    <row r="1" spans="2:8" x14ac:dyDescent="0.3">
      <c r="C1" t="s">
        <v>102</v>
      </c>
      <c r="D1" t="s">
        <v>103</v>
      </c>
      <c r="E1" s="1" t="s">
        <v>104</v>
      </c>
      <c r="G1" s="2" t="s">
        <v>92</v>
      </c>
      <c r="H1" s="2">
        <v>3788.53</v>
      </c>
    </row>
    <row r="2" spans="2:8" x14ac:dyDescent="0.3">
      <c r="B2" t="s">
        <v>101</v>
      </c>
      <c r="C2" s="6">
        <v>5</v>
      </c>
      <c r="D2" s="6">
        <f>C2/10</f>
        <v>0.5</v>
      </c>
      <c r="E2" s="9">
        <f>D2*$H$1</f>
        <v>1894.2650000000001</v>
      </c>
    </row>
    <row r="3" spans="2:8" x14ac:dyDescent="0.3">
      <c r="B3" t="s">
        <v>96</v>
      </c>
      <c r="C3" s="6">
        <v>48.98</v>
      </c>
      <c r="D3" s="6">
        <f>C3/10</f>
        <v>4.8979999999999997</v>
      </c>
      <c r="E3" s="9">
        <f>D3*$H$1</f>
        <v>18556.219939999999</v>
      </c>
    </row>
    <row r="4" spans="2:8" x14ac:dyDescent="0.3">
      <c r="B4" s="10" t="s">
        <v>94</v>
      </c>
      <c r="C4" s="11">
        <f>SUM(C2:C3)</f>
        <v>53.98</v>
      </c>
      <c r="D4" s="11">
        <f>SUM(D2:D3)</f>
        <v>5.3979999999999997</v>
      </c>
      <c r="E4" s="11">
        <f>SUM(E2:E3)</f>
        <v>20450.484939999998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C6"/>
  <sheetViews>
    <sheetView tabSelected="1" zoomScale="145" zoomScaleNormal="145" workbookViewId="0">
      <selection activeCell="E12" sqref="E12"/>
    </sheetView>
  </sheetViews>
  <sheetFormatPr baseColWidth="10" defaultRowHeight="14.4" x14ac:dyDescent="0.3"/>
  <cols>
    <col min="2" max="2" width="12.88671875" bestFit="1" customWidth="1"/>
    <col min="3" max="3" width="22" customWidth="1"/>
  </cols>
  <sheetData>
    <row r="2" spans="2:3" x14ac:dyDescent="0.3">
      <c r="B2" t="s">
        <v>105</v>
      </c>
      <c r="C2" s="6">
        <f>Componentes_TITAN!G33</f>
        <v>136484.824074</v>
      </c>
    </row>
    <row r="3" spans="2:3" x14ac:dyDescent="0.3">
      <c r="B3" t="s">
        <v>74</v>
      </c>
      <c r="C3" s="6">
        <f>Carcasa!C5</f>
        <v>14041.74</v>
      </c>
    </row>
    <row r="4" spans="2:3" x14ac:dyDescent="0.3">
      <c r="B4" t="s">
        <v>75</v>
      </c>
      <c r="C4" s="6">
        <f>PCB!E4</f>
        <v>20450.484939999998</v>
      </c>
    </row>
    <row r="5" spans="2:3" x14ac:dyDescent="0.3">
      <c r="B5" t="s">
        <v>106</v>
      </c>
      <c r="C5" s="6">
        <v>30000</v>
      </c>
    </row>
    <row r="6" spans="2:3" x14ac:dyDescent="0.3">
      <c r="B6" s="10" t="s">
        <v>94</v>
      </c>
      <c r="C6" s="11">
        <f>SUM(C2:C5)</f>
        <v>200977.04901399999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Componentes_Compra</vt:lpstr>
      <vt:lpstr>Componentes_TITAN</vt:lpstr>
      <vt:lpstr>Carcasa</vt:lpstr>
      <vt:lpstr>PCB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MEJIA LOPEZ</dc:creator>
  <cp:lastModifiedBy>ANDRES MEJIA LOPEZ</cp:lastModifiedBy>
  <dcterms:created xsi:type="dcterms:W3CDTF">2026-01-15T01:13:49Z</dcterms:created>
  <dcterms:modified xsi:type="dcterms:W3CDTF">2026-01-15T04:47:31Z</dcterms:modified>
</cp:coreProperties>
</file>